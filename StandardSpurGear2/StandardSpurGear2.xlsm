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My Drive\Autre\Hobbies\Modelisation 3D\Bibliotheque\Gears\StandardSpurGear2\"/>
    </mc:Choice>
  </mc:AlternateContent>
  <xr:revisionPtr revIDLastSave="0" documentId="13_ncr:1_{2A7F8BEE-41D4-4328-B3D3-C3509AEDA8DC}" xr6:coauthVersionLast="47" xr6:coauthVersionMax="47" xr10:uidLastSave="{00000000-0000-0000-0000-000000000000}"/>
  <bookViews>
    <workbookView xWindow="-120" yWindow="-120" windowWidth="29040" windowHeight="15720" xr2:uid="{E071C03E-5118-44CB-981B-95E52E57169B}"/>
  </bookViews>
  <sheets>
    <sheet name="TableDeParametreStandard" sheetId="2" r:id="rId1"/>
    <sheet name="Feuil1" sheetId="1" r:id="rId2"/>
  </sheets>
  <functionGroups builtInGroupCount="19"/>
  <definedNames>
    <definedName name="DonnéesExternes_1" localSheetId="0" hidden="1">TableDeParametreStandard!$A$1:$K$3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1" l="1" a="1"/>
  <c r="L2" i="1" a="1"/>
  <c r="D2" i="1" a="1"/>
  <c r="G2" i="1" a="1"/>
  <c r="K3" i="1" a="1"/>
  <c r="E3" i="1" a="1"/>
  <c r="K2" i="1" a="1"/>
  <c r="H2" i="1" a="1"/>
  <c r="G3" i="1" a="1"/>
  <c r="H3" i="1" a="1"/>
  <c r="D3" i="1" a="1"/>
  <c r="E2" i="1" a="1"/>
  <c r="H2" i="2" a="1"/>
  <c r="H3" i="2" a="1"/>
  <c r="E2" i="2" a="1"/>
  <c r="G3" i="2" a="1"/>
  <c r="G2" i="2" a="1"/>
  <c r="K2" i="2" a="1"/>
  <c r="E3" i="2" a="1"/>
  <c r="K3" i="2" a="1"/>
  <c r="D3" i="2" a="1"/>
  <c r="D2" i="2" a="1"/>
  <c r="L2" i="1" l="1"/>
  <c r="L3" i="1"/>
  <c r="G3" i="1"/>
  <c r="G3" i="2"/>
  <c r="D3" i="2"/>
  <c r="K2" i="1"/>
  <c r="G2" i="1"/>
  <c r="E3" i="1"/>
  <c r="E2" i="1"/>
  <c r="H2" i="1"/>
  <c r="H3" i="1"/>
  <c r="D2" i="1"/>
  <c r="G2" i="2"/>
  <c r="H2" i="2"/>
  <c r="D2" i="2"/>
  <c r="E2" i="2"/>
  <c r="K2" i="2"/>
  <c r="K3" i="2"/>
  <c r="K3" i="1"/>
  <c r="H3" i="2"/>
  <c r="D3" i="1"/>
  <c r="E3" i="2"/>
  <c r="I3" i="1" a="1"/>
  <c r="J3" i="1" a="1"/>
  <c r="F2" i="1" a="1"/>
  <c r="I2" i="1" a="1"/>
  <c r="J2" i="1" a="1"/>
  <c r="F3" i="1" a="1"/>
  <c r="F2" i="2" a="1"/>
  <c r="I3" i="2" a="1"/>
  <c r="I2" i="2" a="1"/>
  <c r="J3" i="2" a="1"/>
  <c r="F3" i="2" a="1"/>
  <c r="J2" i="2" a="1"/>
  <c r="J3" i="1" l="1"/>
  <c r="I3" i="1"/>
  <c r="F3" i="1"/>
  <c r="F2" i="2"/>
  <c r="I2" i="2"/>
  <c r="J2" i="2"/>
  <c r="I3" i="2"/>
  <c r="J3" i="2"/>
  <c r="F3" i="2"/>
  <c r="J2" i="1"/>
  <c r="I2" i="1"/>
  <c r="F2" i="1"/>
  <c r="L2" i="2" a="1"/>
  <c r="L3" i="2" a="1"/>
  <c r="L3" i="2" l="1"/>
  <c r="L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F681E90-7729-44F5-A0CB-F7097A0C8733}" keepAlive="1" name="Requête - Tableau2" description="Connexion à la requête « Tableau2 » dans le classeur." type="5" refreshedVersion="8" background="1" saveData="1">
    <dbPr connection="Provider=Microsoft.Mashup.OleDb.1;Data Source=$Workbook$;Location=Tableau2;Extended Properties=&quot;&quot;" command="SELECT * FROM [Tableau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<sst xmlns="http://schemas.openxmlformats.org/spreadsheetml/2006/main" count="24" uniqueCount="13">
  <si>
    <t>Module(u)</t>
  </si>
  <si>
    <t>Reference Pressure Angle (deg)</t>
  </si>
  <si>
    <t>Number of Teeth (u)</t>
  </si>
  <si>
    <t>Center Distance (mm)</t>
  </si>
  <si>
    <t>Reference Diameter (mm)</t>
  </si>
  <si>
    <t>Base Diameter (mm)</t>
  </si>
  <si>
    <t>Addendum (mm)</t>
  </si>
  <si>
    <t>Tooth Depth (mm)</t>
  </si>
  <si>
    <t>Tip Diameter (mm)</t>
  </si>
  <si>
    <t>Root Diameter (mm)</t>
  </si>
  <si>
    <t>Tooth Thickness (mm)</t>
  </si>
  <si>
    <t>Center Hole</t>
  </si>
  <si>
    <t>Center Hole (mm)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</si>
</sst>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DC672501-F19D-4D01-A28F-A4782EE68DEB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1" name="Module(u)" tableColumnId="1"/>
      <queryTableField id="2" name="Reference Pressure Angle (deg)" tableColumnId="2"/>
      <queryTableField id="3" name="Number of Teeth (u)" tableColumnId="3"/>
      <queryTableField id="4" name="Center Distance (mm)" tableColumnId="4"/>
      <queryTableField id="5" name="Reference Diameter (mm)" tableColumnId="5"/>
      <queryTableField id="6" name="Base Diameter (mm)" tableColumnId="6"/>
      <queryTableField id="7" name="Addendum (mm)" tableColumnId="7"/>
      <queryTableField id="8" name="Tooth Depth (mm)" tableColumnId="8"/>
      <queryTableField id="9" name="Tip Diameter (mm)" tableColumnId="9"/>
      <queryTableField id="10" name="Root Diameter (mm)" tableColumnId="10"/>
      <queryTableField id="11" name="Tooth Thickness (mm)" tableColumnId="11"/>
      <queryTableField id="13" dataBound="0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C90C7F-1AFB-4B47-B488-80CDD5171F8E}" name="Tableau2_1" displayName="Tableau2_1" ref="A1:L3" tableType="queryTable" totalsRowShown="0">
  <autoFilter ref="A1:L3" xr:uid="{00C90C7F-1AFB-4B47-B488-80CDD5171F8E}"/>
  <tableColumns count="12">
    <tableColumn id="1" xr3:uid="{199602C4-B93B-4D61-BECD-8FEE836FB70F}" uniqueName="1" name="Module(u)" queryTableFieldId="1"/>
    <tableColumn id="2" xr3:uid="{90EE8144-6858-4274-A145-30A35099CCC4}" uniqueName="2" name="Reference Pressure Angle (deg)" queryTableFieldId="2"/>
    <tableColumn id="3" xr3:uid="{7814352C-0E40-46B4-A0F0-12944E91F8E5}" uniqueName="3" name="Number of Teeth (u)" queryTableFieldId="3"/>
    <tableColumn id="4" xr3:uid="{DFD92222-59C7-4919-A017-EECCAC4660DB}" uniqueName="4" name="Center Distance (mm)" queryTableFieldId="4"/>
    <tableColumn id="5" xr3:uid="{66E2335D-4C1C-4AEA-A023-07A98BE48589}" uniqueName="5" name="Reference Diameter (mm)" queryTableFieldId="5"/>
    <tableColumn id="6" xr3:uid="{91CE9C93-F702-42AA-8F03-81EB149736D0}" uniqueName="6" name="Base Diameter (mm)" queryTableFieldId="6"/>
    <tableColumn id="7" xr3:uid="{745B4011-2A7B-4539-93D0-B988D5EED83F}" uniqueName="7" name="Addendum (mm)" queryTableFieldId="7"/>
    <tableColumn id="8" xr3:uid="{12F0E493-1CF3-4B52-A858-1E9DD4426D04}" uniqueName="8" name="Tooth Depth (mm)" queryTableFieldId="8"/>
    <tableColumn id="9" xr3:uid="{DB7D0B95-04D6-4553-8877-9870A8A31316}" uniqueName="9" name="Tip Diameter (mm)" queryTableFieldId="9"/>
    <tableColumn id="10" xr3:uid="{3B37FE76-A4E1-487D-96F8-8AA91564AD46}" uniqueName="10" name="Root Diameter (mm)" queryTableFieldId="10"/>
    <tableColumn id="11" xr3:uid="{4A8F4D23-2CE8-42EB-8F81-654A41C8CBC6}" uniqueName="11" name="Tooth Thickness (mm)" queryTableFieldId="11"/>
    <tableColumn id="13" xr3:uid="{2E5C16FF-C7E2-4D7C-BDA4-8F1FF1EF4206}" uniqueName="13" name="Center Hole (mm)" queryTableFieldId="13">
      <calculatedColumnFormula array="1">CenterHole(I2,J2)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D67A4F-6D72-4112-94DB-48B8A6A34ED6}" name="Tableau2" displayName="Tableau2" ref="A1:L3" totalsRowShown="0">
  <autoFilter ref="A1:L3" xr:uid="{33D67A4F-6D72-4112-94DB-48B8A6A34ED6}"/>
  <tableColumns count="12">
    <tableColumn id="1" xr3:uid="{0FDE9DCF-E991-40AA-80D9-6172B895FF06}" name="Module(u)"/>
    <tableColumn id="2" xr3:uid="{88E93C6E-44CC-4E9D-A97E-6F474133AF8A}" name="Reference Pressure Angle (deg)"/>
    <tableColumn id="3" xr3:uid="{8219195E-F6CF-49D3-AFDE-354C6648EF65}" name="Number of Teeth (u)"/>
    <tableColumn id="4" xr3:uid="{DC4F499F-C979-46E2-A736-22529E22F110}" name="Center Distance (mm)">
      <calculatedColumnFormula array="1">CenterDistance(A2,C$2,C$3)</calculatedColumnFormula>
    </tableColumn>
    <tableColumn id="5" xr3:uid="{CECE1775-686F-46D8-8EE7-F14EDACAE00D}" name="Reference Diameter (mm)">
      <calculatedColumnFormula array="1">ReferenceDiameter(C2,A2)</calculatedColumnFormula>
    </tableColumn>
    <tableColumn id="6" xr3:uid="{88D3DB42-D5F5-4492-A9AD-85F5EA4778CE}" name="Base Diameter (mm)">
      <calculatedColumnFormula array="1">BaseDiameter(E2,B2)</calculatedColumnFormula>
    </tableColumn>
    <tableColumn id="7" xr3:uid="{14435417-6D59-4D3B-85AF-E396300AD946}" name="Addendum (mm)">
      <calculatedColumnFormula array="1">Addendum(A2)</calculatedColumnFormula>
    </tableColumn>
    <tableColumn id="8" xr3:uid="{05E841EF-9A22-4730-A358-1DFA3707EA10}" name="Tooth Depth (mm)">
      <calculatedColumnFormula array="1">ToothDepth(A2)</calculatedColumnFormula>
    </tableColumn>
    <tableColumn id="9" xr3:uid="{BDBE6ECC-2EFE-4D7F-BAB5-C16D16DCE7BB}" name="Tip Diameter (mm)">
      <calculatedColumnFormula array="1">TipDiameter(A2,E2)</calculatedColumnFormula>
    </tableColumn>
    <tableColumn id="10" xr3:uid="{3F7928AA-2F7E-4B88-B4C6-2CDF2582FA33}" name="Root Diameter (mm)">
      <calculatedColumnFormula array="1">RootDiameter(A2,E2)</calculatedColumnFormula>
    </tableColumn>
    <tableColumn id="11" xr3:uid="{023FE1FF-0CF2-4241-B78F-C1A44469CD68}" name="Tooth Thickness (mm)">
      <calculatedColumnFormula array="1">ToothThickness(A2)</calculatedColumnFormula>
    </tableColumn>
    <tableColumn id="12" xr3:uid="{BD2D8079-6B16-48DB-973E-F913DF451479}" name="Center Hole" dataDxfId="0">
      <calculatedColumnFormula array="1">CenterHole(I2,J2)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2509A-0E4E-40CB-98CE-66E72AB05617}">
  <sheetPr codeName="Feuil2"/>
  <dimension ref="A1:L3"/>
  <sheetViews>
    <sheetView tabSelected="1" zoomScale="85" zoomScaleNormal="85" workbookViewId="0">
      <selection activeCell="F17" sqref="F17"/>
    </sheetView>
  </sheetViews>
  <sheetFormatPr baseColWidth="10" defaultRowHeight="15" x14ac:dyDescent="0.25"/>
  <cols>
    <col min="1" max="1" width="12.5703125" bestFit="1" customWidth="1"/>
    <col min="2" max="2" width="32.140625" bestFit="1" customWidth="1"/>
    <col min="3" max="3" width="21.5703125" bestFit="1" customWidth="1"/>
    <col min="4" max="4" width="23.5703125" bestFit="1" customWidth="1"/>
    <col min="5" max="5" width="27.140625" bestFit="1" customWidth="1"/>
    <col min="6" max="6" width="21.85546875" bestFit="1" customWidth="1"/>
    <col min="7" max="7" width="18.42578125" bestFit="1" customWidth="1"/>
    <col min="8" max="8" width="19.85546875" bestFit="1" customWidth="1"/>
    <col min="9" max="9" width="20.28515625" bestFit="1" customWidth="1"/>
    <col min="10" max="10" width="21.85546875" bestFit="1" customWidth="1"/>
    <col min="11" max="11" width="23.28515625" bestFit="1" customWidth="1"/>
    <col min="12" max="12" width="19.710937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12</v>
      </c>
    </row>
    <row r="2" spans="1:12" x14ac:dyDescent="0.25">
      <c r="A2">
        <v>3</v>
      </c>
      <c r="B2">
        <v>20</v>
      </c>
      <c r="C2">
        <v>12</v>
      </c>
      <c r="D2" cm="1">
        <f t="array" ref="D2">CenterDistance(A2,C$2,C$3)</f>
        <v>54</v>
      </c>
      <c r="E2" cm="1">
        <f t="array" ref="E2">ReferenceDiameter(C2,A2)</f>
        <v>36</v>
      </c>
      <c r="F2" cm="1">
        <f t="array" ref="F2">BaseDiameter(E2,B2)</f>
        <v>33.828937978615876</v>
      </c>
      <c r="G2" cm="1">
        <f t="array" ref="G2">Addendum(A2)</f>
        <v>3</v>
      </c>
      <c r="H2" cm="1">
        <f t="array" ref="H2">ToothDepth(A2)</f>
        <v>6.75</v>
      </c>
      <c r="I2" cm="1">
        <f t="array" ref="I2">TipDiameter(A2,E2)</f>
        <v>42</v>
      </c>
      <c r="J2" cm="1">
        <f t="array" ref="J2">RootDiameter(A2,E2)</f>
        <v>28.5</v>
      </c>
      <c r="K2" cm="1">
        <f t="array" ref="K2">ToothThickness(A2)</f>
        <v>9.4247699999999988</v>
      </c>
      <c r="L2" cm="1">
        <f t="array" ref="L2">CenterHole(I2,J2)</f>
        <v>6.75</v>
      </c>
    </row>
    <row r="3" spans="1:12" x14ac:dyDescent="0.25">
      <c r="A3">
        <v>3</v>
      </c>
      <c r="B3">
        <v>20</v>
      </c>
      <c r="C3">
        <v>24</v>
      </c>
      <c r="D3" cm="1">
        <f t="array" ref="D3">CenterDistance(A3,C$2,C$3)</f>
        <v>54</v>
      </c>
      <c r="E3" cm="1">
        <f t="array" ref="E3">ReferenceDiameter(C3,A3)</f>
        <v>72</v>
      </c>
      <c r="F3" cm="1">
        <f t="array" ref="F3">BaseDiameter(E3,B3)</f>
        <v>67.657875957231752</v>
      </c>
      <c r="G3" cm="1">
        <f t="array" ref="G3">Addendum(A3)</f>
        <v>3</v>
      </c>
      <c r="H3" cm="1">
        <f t="array" ref="H3">ToothDepth(A3)</f>
        <v>6.75</v>
      </c>
      <c r="I3" cm="1">
        <f t="array" ref="I3">TipDiameter(A3,E3)</f>
        <v>78</v>
      </c>
      <c r="J3" cm="1">
        <f t="array" ref="J3">RootDiameter(A3,E3)</f>
        <v>64.5</v>
      </c>
      <c r="K3" cm="1">
        <f t="array" ref="K3">ToothThickness(A3)</f>
        <v>9.4247699999999988</v>
      </c>
      <c r="L3" cm="1">
        <f t="array" ref="L3">CenterHole(I3,J3)</f>
        <v>6.75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3C7E5-1EA6-4EA2-94F5-8B00201ACC73}">
  <sheetPr codeName="Feuil1"/>
  <dimension ref="A1:L3"/>
  <sheetViews>
    <sheetView workbookViewId="0">
      <selection activeCell="L1" sqref="L1:L3"/>
    </sheetView>
  </sheetViews>
  <sheetFormatPr baseColWidth="10" defaultRowHeight="15" x14ac:dyDescent="0.25"/>
  <cols>
    <col min="1" max="1" width="12.42578125" customWidth="1"/>
    <col min="2" max="2" width="31.5703125" customWidth="1"/>
    <col min="3" max="3" width="21.28515625" customWidth="1"/>
    <col min="4" max="4" width="23.140625" customWidth="1"/>
    <col min="5" max="5" width="26.7109375" customWidth="1"/>
    <col min="6" max="6" width="21.5703125" customWidth="1"/>
    <col min="7" max="7" width="18.140625" customWidth="1"/>
    <col min="8" max="8" width="19.5703125" customWidth="1"/>
    <col min="9" max="9" width="20" customWidth="1"/>
    <col min="10" max="10" width="21.5703125" customWidth="1"/>
    <col min="11" max="11" width="23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>
        <v>3</v>
      </c>
      <c r="B2">
        <v>20</v>
      </c>
      <c r="C2">
        <v>12</v>
      </c>
      <c r="D2" cm="1">
        <f t="array" ref="D2">CenterDistance(A2,C$2,C$3)</f>
        <v>54</v>
      </c>
      <c r="E2" cm="1">
        <f t="array" ref="E2">ReferenceDiameter(C2,A2)</f>
        <v>36</v>
      </c>
      <c r="F2" cm="1">
        <f t="array" ref="F2">BaseDiameter(E2,B2)</f>
        <v>33.828937978615876</v>
      </c>
      <c r="G2" cm="1">
        <f t="array" ref="G2">Addendum(A2)</f>
        <v>3</v>
      </c>
      <c r="H2" cm="1">
        <f t="array" ref="H2">ToothDepth(A2)</f>
        <v>6.75</v>
      </c>
      <c r="I2" cm="1">
        <f t="array" ref="I2">TipDiameter(A2,E2)</f>
        <v>42</v>
      </c>
      <c r="J2" cm="1">
        <f t="array" ref="J2">RootDiameter(A2,E2)</f>
        <v>28.5</v>
      </c>
      <c r="K2" cm="1">
        <f t="array" ref="K2">ToothThickness(A2)</f>
        <v>9.4247699999999988</v>
      </c>
      <c r="L2" cm="1">
        <f t="array" ref="L2">CenterHole(I2,J2)</f>
        <v>6.75</v>
      </c>
    </row>
    <row r="3" spans="1:12" x14ac:dyDescent="0.25">
      <c r="A3">
        <v>3</v>
      </c>
      <c r="B3">
        <v>20</v>
      </c>
      <c r="C3">
        <v>24</v>
      </c>
      <c r="D3" cm="1">
        <f t="array" ref="D3">CenterDistance(A3,C$2,C$3)</f>
        <v>54</v>
      </c>
      <c r="E3" cm="1">
        <f t="array" ref="E3">ReferenceDiameter(C3,A3)</f>
        <v>72</v>
      </c>
      <c r="F3" cm="1">
        <f t="array" ref="F3">BaseDiameter(E3,B3)</f>
        <v>67.657875957231752</v>
      </c>
      <c r="G3" cm="1">
        <f t="array" ref="G3">Addendum(A3)</f>
        <v>3</v>
      </c>
      <c r="H3" cm="1">
        <f t="array" ref="H3">ToothDepth(A3)</f>
        <v>6.75</v>
      </c>
      <c r="I3" cm="1">
        <f t="array" ref="I3">TipDiameter(A3,E3)</f>
        <v>78</v>
      </c>
      <c r="J3" cm="1">
        <f t="array" ref="J3">RootDiameter(A3,E3)</f>
        <v>64.5</v>
      </c>
      <c r="K3" cm="1">
        <f t="array" ref="K3">ToothThickness(A3)</f>
        <v>9.4247699999999988</v>
      </c>
      <c r="L3" cm="1">
        <f t="array" ref="L3">CenterHole(I3,J3)</f>
        <v>6.75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FFF7D8-68A8-4EC8-B354-01741328D8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TableDeParametreStandard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 Balazinski</dc:creator>
  <cp:lastModifiedBy>Philippe Balazinski</cp:lastModifiedBy>
  <dcterms:created xsi:type="dcterms:W3CDTF">2024-12-29T14:37:53Z</dcterms:created>
  <dcterms:modified xsi:type="dcterms:W3CDTF">2025-01-23T14:28:29Z</dcterms:modified>
</cp:coreProperties>
</file>